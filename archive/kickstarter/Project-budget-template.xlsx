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ding Goal" sheetId="1" r:id="rId4"/>
    <sheet state="visible" name="R&amp;D" sheetId="2" r:id="rId5"/>
    <sheet state="visible" name="Manufacturing" sheetId="3" r:id="rId6"/>
    <sheet state="visible" name="Packaging" sheetId="4" r:id="rId7"/>
    <sheet state="visible" name="Shipping" sheetId="5" r:id="rId8"/>
    <sheet state="visible" name="Labor" sheetId="6" r:id="rId9"/>
    <sheet state="visible" name="Miscellaneous" sheetId="7" r:id="rId10"/>
  </sheets>
  <definedNames>
    <definedName name="Currency">'Funding Goal'!$D$7</definedName>
  </definedNames>
  <calcPr/>
</workbook>
</file>

<file path=xl/sharedStrings.xml><?xml version="1.0" encoding="utf-8"?>
<sst xmlns="http://schemas.openxmlformats.org/spreadsheetml/2006/main" count="134" uniqueCount="92">
  <si>
    <t>Project Budget Template, Design &amp; Technology</t>
  </si>
  <si>
    <t>PHASE LEGEND</t>
  </si>
  <si>
    <r>
      <rPr>
        <rFont val="Helvetica Neue"/>
        <b/>
        <color rgb="FF000000"/>
        <sz val="10.0"/>
      </rPr>
      <t xml:space="preserve">Add at least three expected totals to the green table below.
</t>
    </r>
    <r>
      <rPr>
        <rFont val="Helvetica Neue"/>
        <color rgb="FF999999"/>
        <sz val="10.0"/>
      </rPr>
      <t>We’ve provided optional tabs of recommended categories to help you itemize your budget.</t>
    </r>
  </si>
  <si>
    <t>Funding</t>
  </si>
  <si>
    <t>Pitching and gathering support for your campaign</t>
  </si>
  <si>
    <r>
      <rPr>
        <rFont val="Helvetica Neue"/>
        <b/>
        <color rgb="FF000000"/>
        <sz val="10.0"/>
      </rPr>
      <t xml:space="preserve">Delete or add green rows to the table below as needed.
</t>
    </r>
    <r>
      <rPr>
        <rFont val="Helvetica Neue"/>
        <color rgb="FF999999"/>
        <sz val="10.0"/>
      </rPr>
      <t>These feed directly in a budget graphic that we’ll generate in the Funding section of your project editor.</t>
    </r>
  </si>
  <si>
    <t>Making</t>
  </si>
  <si>
    <t xml:space="preserve">Manufacturing your product, finalizing your app, printing your book, etc. </t>
  </si>
  <si>
    <t>Use this template to build an informed budget and set a funding goal. We’re able to see this document—which helps us better understand how creators like you prepare for your campaign and project—but will never share it without your explicit permission.</t>
  </si>
  <si>
    <t>Fulfilling</t>
  </si>
  <si>
    <t>Delivering rewards to backers</t>
  </si>
  <si>
    <t>Multiple/Other</t>
  </si>
  <si>
    <t>Work spanning multiple phases, e.g., paying yourself</t>
  </si>
  <si>
    <t>COST CATEGORY</t>
  </si>
  <si>
    <t>DESCRIPTION (OPTIONAL)</t>
  </si>
  <si>
    <t>PHASE</t>
  </si>
  <si>
    <t xml:space="preserve">CA$ </t>
  </si>
  <si>
    <t>EXPECTED TOTAL</t>
  </si>
  <si>
    <t>Research &amp; Development</t>
  </si>
  <si>
    <t>Manufacturing</t>
  </si>
  <si>
    <t>Packaging &amp; Shipping</t>
  </si>
  <si>
    <t>Labor</t>
  </si>
  <si>
    <t>Subtotal</t>
  </si>
  <si>
    <t xml:space="preserve">PERCENTAGE </t>
  </si>
  <si>
    <t>Kickstarter fee</t>
  </si>
  <si>
    <t>We collect a flat 5% fee from every successful campaign.</t>
  </si>
  <si>
    <t>Payment processing fee</t>
  </si>
  <si>
    <t>This average varies based on your project's location and total number of backers.</t>
  </si>
  <si>
    <t>Taxes</t>
  </si>
  <si>
    <t>Set aside a perecentage for taxes—see a professional adviser for additional guidance.</t>
  </si>
  <si>
    <t>Margin of error</t>
  </si>
  <si>
    <t>Include a buffer to cover any miscalculations.</t>
  </si>
  <si>
    <t>Estimated funding goal</t>
  </si>
  <si>
    <t>Research costs often have no outcome, but can bring new knowledge to the ongoing development and improvements around your project. This includes quality checks, market opportunity, and production timeline.</t>
  </si>
  <si>
    <t>Estimate and track these peripheral expenses below with as much detail as possible.</t>
  </si>
  <si>
    <t>Add your expected total to the Research &amp; Development cost category row in the Funding Goal tab.</t>
  </si>
  <si>
    <t>ITEM</t>
  </si>
  <si>
    <t>DESCRIPTION</t>
  </si>
  <si>
    <t>DATE</t>
  </si>
  <si>
    <t>LEAD TIME</t>
  </si>
  <si>
    <t>Cost 1</t>
  </si>
  <si>
    <t>Cost 2</t>
  </si>
  <si>
    <t>Cost 3</t>
  </si>
  <si>
    <t>TOTAL</t>
  </si>
  <si>
    <t>Consider your expected costs, quantities, and lead times to produce and review prototypes and final versions of your project.</t>
  </si>
  <si>
    <t>Adjust your cost per unit based on the order size if necessary.</t>
  </si>
  <si>
    <t>Add your expected total to the Manufacturing Units cost category row in the Funding Goal tab.</t>
  </si>
  <si>
    <t>SMALL ORDER (100 UNITS)</t>
  </si>
  <si>
    <t>EXPECTED COST / UNIT</t>
  </si>
  <si>
    <t>UNITS</t>
  </si>
  <si>
    <t xml:space="preserve">Part 1 </t>
  </si>
  <si>
    <t>0 weeks</t>
  </si>
  <si>
    <t>Part 2</t>
  </si>
  <si>
    <t>Part 3</t>
  </si>
  <si>
    <t>SMALL ORDER TOTAL</t>
  </si>
  <si>
    <t>MEDIUM ORDER (500 UNITS)</t>
  </si>
  <si>
    <t>MEDIUM ORDER TOTAL</t>
  </si>
  <si>
    <t>Packaging</t>
  </si>
  <si>
    <t>You should shop around for packaging options from as many vendors as you can. Include hard costs such as structural and graphic design, custom manufacturing, and supplies.</t>
  </si>
  <si>
    <t>The fragility of the items you’ll ship are important to your packaging decisions. How will you securely send your items so that they aren’t damaged during travel?</t>
  </si>
  <si>
    <t>Add your expected total to the Packaging cost category row in the Funding Goal tab.</t>
  </si>
  <si>
    <t>QUANTITY</t>
  </si>
  <si>
    <t>EXPECTED COST</t>
  </si>
  <si>
    <t>Item 1</t>
  </si>
  <si>
    <t>Item 2</t>
  </si>
  <si>
    <t>Item 3</t>
  </si>
  <si>
    <t>Item 4</t>
  </si>
  <si>
    <t>Shipping</t>
  </si>
  <si>
    <t>First, establish your individual reward tiers and decide where in the world you’ll offer to ship them. Then estimate the size and weight of your complete packaging for each tier item so you can calculate a shipping quote. Use your best judgement to estimate how many backers each tier might attract, especially if you’re offering an unlimited amount of a reward.</t>
  </si>
  <si>
    <t>International shipping can be complex and expensive—explore packaging options and shipping estimates thoroughly before making a final decision about where you will ship your rewards.</t>
  </si>
  <si>
    <t>Add your expected total to the Shipping cost category row in the Funding Goal tab.</t>
  </si>
  <si>
    <t>REWARD</t>
  </si>
  <si>
    <t>EXPECTED BACKERS</t>
  </si>
  <si>
    <t>SHIPPING COST</t>
  </si>
  <si>
    <t xml:space="preserve">EXPECTED TOTAL </t>
  </si>
  <si>
    <t>Tier 1 (U.S.)</t>
  </si>
  <si>
    <t>Tier 1 (UK)</t>
  </si>
  <si>
    <t>Tier 1 (India)</t>
  </si>
  <si>
    <t>Tier 2 (U.S.)</t>
  </si>
  <si>
    <t>Tier 2 (UK)</t>
  </si>
  <si>
    <t>Tier 3 (India)</t>
  </si>
  <si>
    <t>It’s crucial that you pay yourself for the time you invest in bringing your project to life. Be honest about your tasks and how long it will take you to complete them. Do the same for any assistants or collaborators that will also be an active part of this process.</t>
  </si>
  <si>
    <t>Add your expected total to the Labor cost category row in the Funding Goal tab.</t>
  </si>
  <si>
    <t>HOURS</t>
  </si>
  <si>
    <t>RATE</t>
  </si>
  <si>
    <t>Your labor cost</t>
  </si>
  <si>
    <t>Assistant</t>
  </si>
  <si>
    <t>Miscellaneous</t>
  </si>
  <si>
    <t xml:space="preserve">Use this final tab to track costs that don’t fit into any of the other categories. </t>
  </si>
  <si>
    <t>Misc Cost 1</t>
  </si>
  <si>
    <t>Misc Cost 2</t>
  </si>
  <si>
    <t>Misc Cost 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</si>
</sst>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0.00;(#,##0.00)"/>
    <numFmt numFmtId="167" formatCode="m/d/yy"/>
  </numFmts>
  <fonts count="21">
    <font>
      <sz val="10.0"/>
      <color rgb="FF000000"/>
      <name val="Arial"/>
    </font>
    <font>
      <sz val="16.0"/>
      <color rgb="FF00007D"/>
      <name val="Roboto"/>
    </font>
    <font>
      <name val="Helvetica Neue"/>
    </font>
    <font>
      <b/>
      <color rgb="FF00007D"/>
      <name val="Roboto"/>
    </font>
    <font/>
    <font>
      <sz val="10.0"/>
      <color rgb="FF000000"/>
      <name val="Helvetica Neue"/>
    </font>
    <font>
      <sz val="9.0"/>
      <name val="Helvetica Neue"/>
    </font>
    <font>
      <sz val="10.0"/>
      <color rgb="FF999999"/>
      <name val="Helvetica Neue"/>
    </font>
    <font>
      <b/>
      <u/>
      <color rgb="FF0000FF"/>
      <name val="Helvetica Neue"/>
    </font>
    <font>
      <b/>
      <name val="Helvetica Neue"/>
    </font>
    <font>
      <b/>
      <color rgb="FF6D9EEB"/>
      <name val="Helvetica Neue"/>
    </font>
    <font>
      <color rgb="FF999999"/>
      <name val="Helvetica Neue"/>
    </font>
    <font>
      <b/>
      <sz val="11.0"/>
      <color rgb="FF000000"/>
      <name val="Helvetica Neue"/>
    </font>
    <font>
      <b/>
      <strike/>
      <name val="Helvetica Neue"/>
    </font>
    <font>
      <sz val="9.0"/>
      <color rgb="FF999999"/>
      <name val="Helvetica Neue"/>
    </font>
    <font>
      <b/>
      <sz val="16.0"/>
      <color rgb="FFFFFFFF"/>
      <name val="Roboto"/>
    </font>
    <font>
      <b/>
      <sz val="12.0"/>
      <color rgb="FFFFFFFF"/>
      <name val="Roboto"/>
    </font>
    <font>
      <sz val="18.0"/>
      <color rgb="FF00007D"/>
      <name val="Roboto"/>
    </font>
    <font>
      <b/>
      <name val="IBM Plex Mono"/>
    </font>
    <font>
      <b/>
      <color rgb="FFFFFFFF"/>
      <name val="Helvetica Neue"/>
    </font>
    <font>
      <name val="IBM Plex Mono"/>
    </font>
  </fonts>
  <fills count="6">
    <fill>
      <patternFill patternType="none"/>
    </fill>
    <fill>
      <patternFill patternType="lightGray"/>
    </fill>
    <fill>
      <patternFill patternType="solid">
        <fgColor rgb="FFF2F5F5"/>
        <bgColor rgb="FFF2F5F5"/>
      </patternFill>
    </fill>
    <fill>
      <patternFill patternType="solid">
        <fgColor rgb="FFDBF0E7"/>
        <bgColor rgb="FFDBF0E7"/>
      </patternFill>
    </fill>
    <fill>
      <patternFill patternType="solid">
        <fgColor rgb="FF00007D"/>
        <bgColor rgb="FF00007D"/>
      </patternFill>
    </fill>
    <fill>
      <patternFill patternType="solid">
        <fgColor rgb="FFFFFFFF"/>
        <bgColor rgb="FFFFFFFF"/>
      </patternFill>
    </fill>
  </fills>
  <borders count="8">
    <border/>
    <border>
      <left style="double">
        <color rgb="FF000000"/>
      </left>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right style="double">
        <color rgb="FF000000"/>
      </right>
      <bottom style="double">
        <color rgb="FF000000"/>
      </bottom>
    </border>
    <border>
      <top style="dotted">
        <color rgb="FF000000"/>
      </top>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shrinkToFit="0" wrapText="1"/>
    </xf>
    <xf borderId="1" fillId="2" fontId="3" numFmtId="0" xfId="0" applyAlignment="1" applyBorder="1" applyFont="1">
      <alignment readingOrder="0" shrinkToFit="0" vertical="bottom" wrapText="1"/>
    </xf>
    <xf borderId="2" fillId="0" fontId="4" numFmtId="0" xfId="0" applyBorder="1" applyFont="1"/>
    <xf borderId="0" fillId="2" fontId="5" numFmtId="0" xfId="0" applyAlignment="1" applyFont="1">
      <alignment readingOrder="0" shrinkToFit="0" vertical="center" wrapText="1"/>
    </xf>
    <xf borderId="0" fillId="2" fontId="2" numFmtId="0" xfId="0" applyAlignment="1" applyFont="1">
      <alignment shrinkToFit="0" vertical="center" wrapText="1"/>
    </xf>
    <xf borderId="3" fillId="2" fontId="3" numFmtId="0" xfId="0" applyAlignment="1" applyBorder="1" applyFont="1">
      <alignment readingOrder="0" shrinkToFit="0" vertical="center" wrapText="1"/>
    </xf>
    <xf borderId="4" fillId="2" fontId="6" numFmtId="0" xfId="0" applyAlignment="1" applyBorder="1" applyFont="1">
      <alignment readingOrder="0" shrinkToFit="0" vertical="center" wrapText="1"/>
    </xf>
    <xf borderId="0" fillId="2" fontId="7" numFmtId="0" xfId="0" applyAlignment="1" applyFont="1">
      <alignment readingOrder="0" shrinkToFit="0" vertical="center" wrapText="1"/>
    </xf>
    <xf borderId="0" fillId="2" fontId="8" numFmtId="0" xfId="0" applyAlignment="1" applyFont="1">
      <alignment readingOrder="0" shrinkToFit="0" vertical="center" wrapText="1"/>
    </xf>
    <xf borderId="0" fillId="2" fontId="2" numFmtId="0" xfId="0" applyAlignment="1" applyFont="1">
      <alignment shrinkToFit="0" vertical="bottom" wrapText="1"/>
    </xf>
    <xf borderId="5" fillId="2" fontId="3" numFmtId="0" xfId="0" applyAlignment="1" applyBorder="1" applyFont="1">
      <alignment readingOrder="0" shrinkToFit="0" vertical="center" wrapText="1"/>
    </xf>
    <xf borderId="6" fillId="2" fontId="6" numFmtId="0" xfId="0" applyAlignment="1" applyBorder="1" applyFont="1">
      <alignment readingOrder="0" shrinkToFit="0" vertical="center" wrapText="1"/>
    </xf>
    <xf borderId="7" fillId="2" fontId="9" numFmtId="0" xfId="0" applyAlignment="1" applyBorder="1" applyFont="1">
      <alignment readingOrder="0" shrinkToFit="0" vertical="bottom" wrapText="1"/>
    </xf>
    <xf borderId="7" fillId="2" fontId="2" numFmtId="0" xfId="0" applyAlignment="1" applyBorder="1" applyFont="1">
      <alignment readingOrder="0" shrinkToFit="0" vertical="bottom" wrapText="1"/>
    </xf>
    <xf borderId="7" fillId="2" fontId="2" numFmtId="0" xfId="0" applyAlignment="1" applyBorder="1" applyFont="1">
      <alignment shrinkToFit="0" vertical="bottom" wrapText="1"/>
    </xf>
    <xf borderId="0" fillId="2" fontId="10" numFmtId="0" xfId="0" applyAlignment="1" applyFont="1">
      <alignment readingOrder="0" shrinkToFit="0" vertical="bottom" wrapText="1"/>
    </xf>
    <xf borderId="0" fillId="2" fontId="9" numFmtId="0" xfId="0" applyAlignment="1" applyFont="1">
      <alignment readingOrder="0" shrinkToFit="0" vertical="bottom" wrapText="1"/>
    </xf>
    <xf borderId="0" fillId="2" fontId="9" numFmtId="164" xfId="0" applyAlignment="1" applyFont="1" applyNumberFormat="1">
      <alignment horizontal="left" readingOrder="0" shrinkToFit="0" vertical="bottom" wrapText="1"/>
    </xf>
    <xf borderId="0" fillId="2" fontId="9" numFmtId="0" xfId="0" applyAlignment="1" applyFont="1">
      <alignment horizontal="left" readingOrder="0" shrinkToFit="0" vertical="bottom" wrapText="1"/>
    </xf>
    <xf borderId="0" fillId="2" fontId="2" numFmtId="165" xfId="0" applyAlignment="1" applyFont="1" applyNumberFormat="1">
      <alignment shrinkToFit="0" wrapText="1"/>
    </xf>
    <xf borderId="0" fillId="3" fontId="2" numFmtId="0" xfId="0" applyAlignment="1" applyFill="1" applyFont="1">
      <alignment readingOrder="0" shrinkToFit="0" vertical="center" wrapText="1"/>
    </xf>
    <xf borderId="0" fillId="3" fontId="11" numFmtId="164" xfId="0" applyAlignment="1" applyFont="1" applyNumberFormat="1">
      <alignment horizontal="left" readingOrder="0" shrinkToFit="0" vertical="center" wrapText="1"/>
    </xf>
    <xf borderId="0" fillId="3" fontId="2" numFmtId="164" xfId="0" applyAlignment="1" applyFont="1" applyNumberFormat="1">
      <alignment horizontal="left" readingOrder="0" shrinkToFit="0" vertical="center" wrapText="1"/>
    </xf>
    <xf borderId="0" fillId="2" fontId="2" numFmtId="164" xfId="0" applyAlignment="1" applyFont="1" applyNumberFormat="1">
      <alignment horizontal="left" readingOrder="0" shrinkToFit="0" vertical="center" wrapText="1"/>
    </xf>
    <xf borderId="0" fillId="3" fontId="2" numFmtId="166" xfId="0" applyAlignment="1" applyFont="1" applyNumberFormat="1">
      <alignment horizontal="left" readingOrder="0" shrinkToFit="0" vertical="center" wrapText="1"/>
    </xf>
    <xf borderId="0" fillId="2" fontId="10" numFmtId="0" xfId="0" applyAlignment="1" applyFont="1">
      <alignment readingOrder="0" shrinkToFit="0" vertical="center" wrapText="1"/>
    </xf>
    <xf borderId="0" fillId="2" fontId="2" numFmtId="0" xfId="0" applyAlignment="1" applyFont="1">
      <alignment readingOrder="0" shrinkToFit="0" vertical="center" wrapText="1"/>
    </xf>
    <xf borderId="0" fillId="2" fontId="2" numFmtId="0" xfId="0" applyFont="1"/>
    <xf borderId="0" fillId="3" fontId="2" numFmtId="0" xfId="0" applyAlignment="1" applyFont="1">
      <alignment horizontal="left" readingOrder="0" shrinkToFit="0" vertical="center" wrapText="1"/>
    </xf>
    <xf borderId="0" fillId="2" fontId="12" numFmtId="0" xfId="0" applyAlignment="1" applyFont="1">
      <alignment horizontal="right" readingOrder="0" shrinkToFit="0" vertical="center" wrapText="1"/>
    </xf>
    <xf borderId="0" fillId="2" fontId="9" numFmtId="164" xfId="0" applyAlignment="1" applyFont="1" applyNumberFormat="1">
      <alignment horizontal="left" readingOrder="0" shrinkToFit="0" vertical="center" wrapText="1"/>
    </xf>
    <xf borderId="0" fillId="2" fontId="9" numFmtId="166" xfId="0" applyAlignment="1" applyFont="1" applyNumberFormat="1">
      <alignment horizontal="left" readingOrder="0" shrinkToFit="0" vertical="center" wrapText="1"/>
    </xf>
    <xf borderId="0" fillId="2" fontId="13" numFmtId="164" xfId="0" applyAlignment="1" applyFont="1" applyNumberFormat="1">
      <alignment horizontal="left" readingOrder="0" shrinkToFit="0" vertical="bottom" wrapText="1"/>
    </xf>
    <xf borderId="0" fillId="2" fontId="2" numFmtId="165" xfId="0" applyAlignment="1" applyFont="1" applyNumberFormat="1">
      <alignment shrinkToFit="0" vertical="bottom" wrapText="1"/>
    </xf>
    <xf borderId="0" fillId="2" fontId="2" numFmtId="0" xfId="0" applyAlignment="1" applyFont="1">
      <alignment shrinkToFit="0" vertical="center" wrapText="1"/>
    </xf>
    <xf borderId="0" fillId="2" fontId="14" numFmtId="164" xfId="0" applyAlignment="1" applyFont="1" applyNumberFormat="1">
      <alignment shrinkToFit="0" vertical="center" wrapText="1"/>
    </xf>
    <xf borderId="0" fillId="2" fontId="11" numFmtId="10" xfId="0" applyAlignment="1" applyFont="1" applyNumberFormat="1">
      <alignment horizontal="left" readingOrder="0" shrinkToFit="0" vertical="center" wrapText="1"/>
    </xf>
    <xf borderId="0" fillId="2" fontId="2" numFmtId="164" xfId="0" applyAlignment="1" applyFont="1" applyNumberFormat="1">
      <alignment horizontal="left" shrinkToFit="0" vertical="center" wrapText="1"/>
    </xf>
    <xf borderId="0" fillId="2" fontId="11" numFmtId="166" xfId="0" applyAlignment="1" applyFont="1" applyNumberFormat="1">
      <alignment horizontal="left" shrinkToFit="0" vertical="center" wrapText="1"/>
    </xf>
    <xf borderId="0" fillId="2" fontId="7" numFmtId="166" xfId="0" applyAlignment="1" applyFont="1" applyNumberFormat="1">
      <alignment horizontal="left" vertical="center"/>
    </xf>
    <xf borderId="0" fillId="3" fontId="2" numFmtId="9" xfId="0" applyAlignment="1" applyFont="1" applyNumberFormat="1">
      <alignment horizontal="left" readingOrder="0" shrinkToFit="0" vertical="center" wrapText="1"/>
    </xf>
    <xf borderId="0" fillId="4" fontId="15" numFmtId="0" xfId="0" applyAlignment="1" applyFill="1" applyFont="1">
      <alignment readingOrder="0" shrinkToFit="0" vertical="center" wrapText="1"/>
    </xf>
    <xf borderId="0" fillId="4" fontId="16" numFmtId="164" xfId="0" applyAlignment="1" applyFont="1" applyNumberFormat="1">
      <alignment horizontal="left" shrinkToFit="0" vertical="center" wrapText="1"/>
    </xf>
    <xf borderId="0" fillId="4" fontId="15" numFmtId="166" xfId="0" applyAlignment="1" applyFont="1" applyNumberFormat="1">
      <alignment horizontal="left" shrinkToFit="0" vertical="center" wrapText="1"/>
    </xf>
    <xf borderId="0" fillId="2" fontId="2" numFmtId="164" xfId="0" applyAlignment="1" applyFont="1" applyNumberFormat="1">
      <alignment horizontal="right" shrinkToFit="0" vertical="bottom" wrapText="1"/>
    </xf>
    <xf borderId="0" fillId="2" fontId="17" numFmtId="0" xfId="0" applyAlignment="1" applyFont="1">
      <alignment readingOrder="0" shrinkToFit="0" vertical="center" wrapText="1"/>
    </xf>
    <xf borderId="0" fillId="0" fontId="9" numFmtId="0" xfId="0" applyAlignment="1" applyFont="1">
      <alignment readingOrder="0" vertical="bottom"/>
    </xf>
    <xf borderId="0" fillId="0" fontId="2" numFmtId="0" xfId="0" applyFont="1"/>
    <xf borderId="0" fillId="0" fontId="18" numFmtId="0" xfId="0" applyAlignment="1" applyFont="1">
      <alignment readingOrder="0" vertical="bottom"/>
    </xf>
    <xf borderId="0" fillId="0" fontId="2" numFmtId="0" xfId="0" applyAlignment="1" applyFont="1">
      <alignment readingOrder="0" vertical="bottom"/>
    </xf>
    <xf borderId="0" fillId="0" fontId="2" numFmtId="164" xfId="0" applyAlignment="1" applyFont="1" applyNumberFormat="1">
      <alignment horizontal="right" vertical="bottom"/>
    </xf>
    <xf borderId="0" fillId="0" fontId="2" numFmtId="167" xfId="0" applyAlignment="1" applyFont="1" applyNumberFormat="1">
      <alignment horizontal="right" readingOrder="0" vertical="bottom"/>
    </xf>
    <xf borderId="0" fillId="0" fontId="2" numFmtId="164" xfId="0" applyAlignment="1" applyFont="1" applyNumberFormat="1">
      <alignment horizontal="right" readingOrder="0" vertical="bottom"/>
    </xf>
    <xf borderId="0" fillId="0" fontId="2" numFmtId="166" xfId="0" applyAlignment="1" applyFont="1" applyNumberFormat="1">
      <alignment horizontal="right" readingOrder="0" vertical="bottom"/>
    </xf>
    <xf borderId="0" fillId="5" fontId="2" numFmtId="167" xfId="0" applyAlignment="1" applyFill="1" applyFont="1" applyNumberFormat="1">
      <alignment horizontal="right" readingOrder="0" vertical="bottom"/>
    </xf>
    <xf borderId="0" fillId="0" fontId="2" numFmtId="0" xfId="0" applyAlignment="1" applyFont="1">
      <alignment vertical="bottom"/>
    </xf>
    <xf borderId="0" fillId="0" fontId="2" numFmtId="1" xfId="0" applyAlignment="1" applyFont="1" applyNumberFormat="1">
      <alignment horizontal="right" vertical="bottom"/>
    </xf>
    <xf borderId="0" fillId="0" fontId="9" numFmtId="0" xfId="0" applyAlignment="1" applyFont="1">
      <alignment vertical="bottom"/>
    </xf>
    <xf borderId="0" fillId="0" fontId="9" numFmtId="164" xfId="0" applyAlignment="1" applyFont="1" applyNumberFormat="1">
      <alignment horizontal="right" vertical="bottom"/>
    </xf>
    <xf borderId="0" fillId="4" fontId="19" numFmtId="0" xfId="0" applyAlignment="1" applyFont="1">
      <alignment horizontal="right" vertical="bottom"/>
    </xf>
    <xf borderId="0" fillId="4" fontId="19" numFmtId="164" xfId="0" applyAlignment="1" applyFont="1" applyNumberFormat="1">
      <alignment horizontal="right" vertical="bottom"/>
    </xf>
    <xf borderId="0" fillId="4" fontId="19" numFmtId="166" xfId="0" applyAlignment="1" applyFont="1" applyNumberFormat="1">
      <alignment horizontal="right" vertical="bottom"/>
    </xf>
    <xf borderId="0" fillId="0" fontId="18" numFmtId="0" xfId="0" applyAlignment="1" applyFont="1">
      <alignment vertical="bottom"/>
    </xf>
    <xf borderId="0" fillId="0" fontId="18" numFmtId="0" xfId="0" applyAlignment="1" applyFont="1">
      <alignment horizontal="right" readingOrder="0" vertical="bottom"/>
    </xf>
    <xf borderId="0" fillId="0" fontId="9" numFmtId="0" xfId="0" applyAlignment="1" applyFont="1">
      <alignment horizontal="right" readingOrder="0" vertical="bottom"/>
    </xf>
    <xf borderId="0" fillId="3" fontId="9" numFmtId="0" xfId="0" applyAlignment="1" applyFont="1">
      <alignment horizontal="left" readingOrder="0" vertical="bottom"/>
    </xf>
    <xf borderId="0" fillId="3" fontId="9" numFmtId="4" xfId="0" applyAlignment="1" applyFont="1" applyNumberFormat="1">
      <alignment horizontal="left" readingOrder="0" vertical="bottom"/>
    </xf>
    <xf borderId="0" fillId="3" fontId="9" numFmtId="0" xfId="0" applyAlignment="1" applyFont="1">
      <alignment horizontal="right" readingOrder="0" vertical="bottom"/>
    </xf>
    <xf borderId="0" fillId="0" fontId="2" numFmtId="4" xfId="0" applyAlignment="1" applyFont="1" applyNumberFormat="1">
      <alignment horizontal="right" readingOrder="0" vertical="bottom"/>
    </xf>
    <xf borderId="0" fillId="0" fontId="20" numFmtId="165" xfId="0" applyFont="1" applyNumberFormat="1"/>
    <xf borderId="0" fillId="4" fontId="19" numFmtId="164" xfId="0" applyAlignment="1" applyFont="1" applyNumberFormat="1">
      <alignment horizontal="right" readingOrder="0" vertical="bottom"/>
    </xf>
    <xf borderId="0" fillId="0" fontId="20" numFmtId="0" xfId="0" applyAlignment="1" applyFont="1">
      <alignment vertical="bottom"/>
    </xf>
    <xf borderId="0" fillId="0" fontId="2" numFmtId="166" xfId="0" applyAlignment="1" applyFont="1" applyNumberFormat="1">
      <alignment horizontal="right" vertical="bottom"/>
    </xf>
    <xf borderId="0" fillId="2" fontId="2" numFmtId="0" xfId="0" applyAlignment="1" applyFont="1">
      <alignment readingOrder="0" shrinkToFit="0" vertical="center" wrapText="1"/>
    </xf>
    <xf borderId="0" fillId="0" fontId="2" numFmtId="0" xfId="0" applyAlignment="1" applyFont="1">
      <alignment horizontal="right" readingOrder="0" vertical="bottom"/>
    </xf>
    <xf borderId="0" fillId="0" fontId="20" numFmtId="164" xfId="0" applyAlignment="1" applyFont="1" applyNumberFormat="1">
      <alignment horizontal="right" readingOrder="0" vertical="bottom"/>
    </xf>
    <xf borderId="0" fillId="5" fontId="2" numFmtId="0" xfId="0" applyAlignment="1" applyFont="1">
      <alignment horizontal="right" readingOrder="0" vertical="bottom"/>
    </xf>
    <xf borderId="0" fillId="0" fontId="2" numFmtId="1" xfId="0" applyAlignment="1" applyFont="1" applyNumberFormat="1">
      <alignment horizontal="right" readingOrder="0" vertical="bottom"/>
    </xf>
    <xf borderId="0" fillId="0" fontId="20" numFmtId="164" xfId="0" applyAlignment="1" applyFont="1" applyNumberFormat="1">
      <alignment horizontal="right" vertical="bottom"/>
    </xf>
    <xf borderId="0" fillId="0" fontId="18" numFmtId="164" xfId="0" applyAlignment="1" applyFont="1" applyNumberFormat="1">
      <alignment horizontal="right" vertical="bottom"/>
    </xf>
    <xf borderId="0" fillId="0" fontId="9" numFmtId="0" xfId="0" applyAlignment="1" applyFont="1">
      <alignment horizontal="center" vertical="bottom"/>
    </xf>
    <xf borderId="0" fillId="0" fontId="2" numFmtId="165" xfId="0" applyAlignment="1" applyFont="1" applyNumberFormat="1">
      <alignment horizontal="center" vertical="bottom"/>
    </xf>
    <xf borderId="0" fillId="0" fontId="9" numFmtId="0" xfId="0" applyAlignment="1" applyFont="1">
      <alignment horizontal="right" vertical="bottom"/>
    </xf>
    <xf borderId="0" fillId="0" fontId="2" numFmtId="165" xfId="0" applyAlignment="1" applyFont="1" applyNumberFormat="1">
      <alignment vertical="bottom"/>
    </xf>
    <xf borderId="0" fillId="0" fontId="20" numFmtId="0" xfId="0" applyAlignment="1" applyFont="1">
      <alignment readingOrder="0" vertical="bottom"/>
    </xf>
    <xf borderId="0" fillId="0" fontId="20" numFmtId="1" xfId="0" applyAlignment="1" applyFont="1" applyNumberFormat="1">
      <alignment horizontal="right" readingOrder="0" vertical="bottom"/>
    </xf>
    <xf borderId="0" fillId="0" fontId="20" numFmtId="164" xfId="0" applyAlignment="1" applyFont="1" applyNumberFormat="1">
      <alignment vertical="bottom"/>
    </xf>
    <xf borderId="0" fillId="0" fontId="20" numFmtId="1" xfId="0" applyAlignment="1" applyFont="1" applyNumberFormat="1">
      <alignment horizontal="right" vertical="bottom"/>
    </xf>
    <xf borderId="0" fillId="5" fontId="20" numFmtId="164" xfId="0" applyAlignment="1" applyFont="1" applyNumberFormat="1">
      <alignment horizontal="right" vertical="bottom"/>
    </xf>
    <xf borderId="0" fillId="0" fontId="4" numFmtId="164" xfId="0" applyAlignment="1" applyFont="1" applyNumberFormat="1">
      <alignment readingOrder="0"/>
    </xf>
    <xf borderId="0" fillId="2"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0</xdr:row>
      <xdr:rowOff>114300</xdr:rowOff>
    </xdr:from>
    <xdr:ext cx="1809750" cy="19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13"/>
    <col customWidth="1" min="2" max="2" width="48.5"/>
    <col customWidth="1" min="3" max="3" width="26.5"/>
    <col customWidth="1" min="4" max="4" width="6.13"/>
    <col customWidth="1" min="5" max="5" width="38.88"/>
    <col customWidth="1" min="6" max="6" width="6.13"/>
    <col customWidth="1" min="7" max="7" width="16.5"/>
    <col customWidth="1" min="8" max="8" width="34.5"/>
  </cols>
  <sheetData>
    <row r="1" ht="35.25" customHeight="1">
      <c r="A1" s="1" t="s">
        <v>0</v>
      </c>
      <c r="F1" s="2"/>
      <c r="G1" s="3" t="s">
        <v>1</v>
      </c>
      <c r="H1" s="4"/>
    </row>
    <row r="2" ht="28.5" customHeight="1">
      <c r="A2" s="5" t="s">
        <v>2</v>
      </c>
      <c r="F2" s="6"/>
      <c r="G2" s="7" t="s">
        <v>3</v>
      </c>
      <c r="H2" s="8" t="s">
        <v>4</v>
      </c>
    </row>
    <row r="3" ht="28.5" customHeight="1">
      <c r="A3" s="5" t="s">
        <v>5</v>
      </c>
      <c r="F3" s="6"/>
      <c r="G3" s="7" t="s">
        <v>6</v>
      </c>
      <c r="H3" s="8" t="s">
        <v>7</v>
      </c>
    </row>
    <row r="4" ht="28.5" customHeight="1">
      <c r="A4" s="9" t="s">
        <v>8</v>
      </c>
      <c r="F4" s="6"/>
      <c r="G4" s="7" t="s">
        <v>9</v>
      </c>
      <c r="H4" s="8" t="s">
        <v>10</v>
      </c>
    </row>
    <row r="5" ht="24.75" customHeight="1">
      <c r="A5" s="10" t="str">
        <f>HYPERLINK("https://iter.ly/yl0jq","Answer a few quick questions about this spreadsheet.
")</f>
        <v>Answer a few quick questions about this spreadsheet.
</v>
      </c>
      <c r="F5" s="11"/>
      <c r="G5" s="12" t="s">
        <v>11</v>
      </c>
      <c r="H5" s="13" t="s">
        <v>12</v>
      </c>
    </row>
    <row r="6" ht="11.25" customHeight="1">
      <c r="A6" s="14"/>
      <c r="B6" s="15"/>
      <c r="C6" s="16"/>
      <c r="D6" s="16"/>
      <c r="E6" s="16"/>
      <c r="F6" s="11"/>
      <c r="G6" s="17"/>
      <c r="H6" s="17"/>
    </row>
    <row r="7" ht="23.25" customHeight="1">
      <c r="A7" s="18" t="s">
        <v>13</v>
      </c>
      <c r="B7" s="19" t="s">
        <v>14</v>
      </c>
      <c r="C7" s="19" t="s">
        <v>15</v>
      </c>
      <c r="D7" s="20" t="s">
        <v>16</v>
      </c>
      <c r="E7" s="19" t="s">
        <v>17</v>
      </c>
      <c r="F7" s="21"/>
      <c r="G7" s="17"/>
      <c r="H7" s="17"/>
    </row>
    <row r="8" ht="18.75" customHeight="1">
      <c r="A8" s="22" t="s">
        <v>18</v>
      </c>
      <c r="B8" s="23"/>
      <c r="C8" s="24" t="s">
        <v>6</v>
      </c>
      <c r="D8" s="25" t="str">
        <f t="shared" ref="D8:D12" si="1">$D$7</f>
        <v>CA$ </v>
      </c>
      <c r="E8" s="26">
        <v>0.0</v>
      </c>
      <c r="F8" s="21"/>
      <c r="G8" s="27"/>
      <c r="H8" s="28"/>
    </row>
    <row r="9" ht="18.75" customHeight="1">
      <c r="A9" s="22" t="s">
        <v>19</v>
      </c>
      <c r="B9" s="23"/>
      <c r="C9" s="24" t="s">
        <v>6</v>
      </c>
      <c r="D9" s="25" t="str">
        <f t="shared" si="1"/>
        <v>CA$ </v>
      </c>
      <c r="E9" s="26">
        <v>0.0</v>
      </c>
      <c r="F9" s="29"/>
      <c r="G9" s="27"/>
      <c r="H9" s="28"/>
    </row>
    <row r="10" ht="18.75" customHeight="1">
      <c r="A10" s="22" t="s">
        <v>20</v>
      </c>
      <c r="B10" s="23"/>
      <c r="C10" s="24" t="s">
        <v>9</v>
      </c>
      <c r="D10" s="25" t="str">
        <f t="shared" si="1"/>
        <v>CA$ </v>
      </c>
      <c r="E10" s="26">
        <v>0.0</v>
      </c>
      <c r="F10" s="21"/>
      <c r="G10" s="27"/>
      <c r="H10" s="28"/>
    </row>
    <row r="11" ht="18.75" customHeight="1">
      <c r="A11" s="30" t="s">
        <v>21</v>
      </c>
      <c r="B11" s="23"/>
      <c r="C11" s="30" t="s">
        <v>11</v>
      </c>
      <c r="D11" s="25" t="str">
        <f t="shared" si="1"/>
        <v>CA$ </v>
      </c>
      <c r="E11" s="26">
        <v>0.0</v>
      </c>
      <c r="F11" s="21"/>
      <c r="G11" s="27"/>
      <c r="H11" s="28"/>
    </row>
    <row r="12" ht="20.25" customHeight="1">
      <c r="A12" s="31" t="s">
        <v>22</v>
      </c>
      <c r="D12" s="32" t="str">
        <f t="shared" si="1"/>
        <v>CA$ </v>
      </c>
      <c r="E12" s="33">
        <f>sum(E8:E11)</f>
        <v>0</v>
      </c>
      <c r="F12" s="21"/>
      <c r="G12" s="27"/>
      <c r="H12" s="28"/>
    </row>
    <row r="13" ht="16.5" customHeight="1">
      <c r="A13" s="18"/>
      <c r="B13" s="34"/>
      <c r="C13" s="19" t="s">
        <v>23</v>
      </c>
      <c r="D13" s="32"/>
      <c r="E13" s="19"/>
      <c r="F13" s="35"/>
      <c r="G13" s="27"/>
      <c r="H13" s="28"/>
    </row>
    <row r="14" ht="24.75" customHeight="1">
      <c r="A14" s="36" t="s">
        <v>24</v>
      </c>
      <c r="B14" s="37" t="s">
        <v>25</v>
      </c>
      <c r="C14" s="38">
        <v>0.05</v>
      </c>
      <c r="D14" s="39" t="str">
        <f t="shared" ref="D14:D17" si="2">$D$7</f>
        <v>CA$ </v>
      </c>
      <c r="E14" s="40">
        <f>E19*C14</f>
        <v>0</v>
      </c>
      <c r="F14" s="35"/>
      <c r="G14" s="27"/>
      <c r="H14" s="28"/>
    </row>
    <row r="15" ht="24.75" customHeight="1">
      <c r="A15" s="36" t="s">
        <v>26</v>
      </c>
      <c r="B15" s="37" t="s">
        <v>27</v>
      </c>
      <c r="C15" s="38">
        <v>0.05</v>
      </c>
      <c r="D15" s="39" t="str">
        <f t="shared" si="2"/>
        <v>CA$ </v>
      </c>
      <c r="E15" s="41">
        <f>E19*C15</f>
        <v>0</v>
      </c>
      <c r="F15" s="35"/>
      <c r="G15" s="27"/>
      <c r="H15" s="28"/>
    </row>
    <row r="16" ht="24.75" customHeight="1">
      <c r="A16" s="28" t="s">
        <v>28</v>
      </c>
      <c r="B16" s="37" t="s">
        <v>29</v>
      </c>
      <c r="C16" s="42">
        <v>0.0</v>
      </c>
      <c r="D16" s="39" t="str">
        <f t="shared" si="2"/>
        <v>CA$ </v>
      </c>
      <c r="E16" s="40">
        <f>C16*(E19-sum(E14:E15))</f>
        <v>0</v>
      </c>
      <c r="F16" s="11"/>
      <c r="G16" s="27"/>
      <c r="H16" s="28"/>
    </row>
    <row r="17" ht="24.75" customHeight="1">
      <c r="A17" s="36" t="s">
        <v>30</v>
      </c>
      <c r="B17" s="37" t="s">
        <v>31</v>
      </c>
      <c r="C17" s="42">
        <v>0.1</v>
      </c>
      <c r="D17" s="39" t="str">
        <f t="shared" si="2"/>
        <v>CA$ </v>
      </c>
      <c r="E17" s="40">
        <f> C17*E12</f>
        <v>0</v>
      </c>
      <c r="F17" s="11"/>
      <c r="G17" s="27"/>
      <c r="H17" s="28"/>
    </row>
    <row r="18" ht="11.25" customHeight="1">
      <c r="A18" s="6"/>
      <c r="B18" s="39"/>
      <c r="C18" s="39"/>
      <c r="D18" s="39"/>
      <c r="E18" s="39"/>
      <c r="F18" s="11"/>
      <c r="G18" s="27"/>
      <c r="H18" s="28"/>
    </row>
    <row r="19" ht="29.25" customHeight="1">
      <c r="A19" s="43" t="s">
        <v>32</v>
      </c>
      <c r="D19" s="44" t="str">
        <f>$D$7</f>
        <v>CA$ </v>
      </c>
      <c r="E19" s="45">
        <f> CEILING(((C17+1)*E12)/(0.9-0.9*C16),100)</f>
        <v>0</v>
      </c>
      <c r="F19" s="11"/>
      <c r="G19" s="27"/>
      <c r="H19" s="28"/>
    </row>
    <row r="20">
      <c r="A20" s="11"/>
      <c r="B20" s="46"/>
      <c r="C20" s="46"/>
      <c r="D20" s="46"/>
      <c r="E20" s="46"/>
      <c r="F20" s="11"/>
      <c r="G20" s="27"/>
      <c r="H20" s="28"/>
    </row>
  </sheetData>
  <mergeCells count="8">
    <mergeCell ref="A1:E1"/>
    <mergeCell ref="G1:H1"/>
    <mergeCell ref="A2:E2"/>
    <mergeCell ref="A3:E3"/>
    <mergeCell ref="A4:E4"/>
    <mergeCell ref="A5:E5"/>
    <mergeCell ref="A12:C12"/>
    <mergeCell ref="A19:C19"/>
  </mergeCells>
  <dataValidations>
    <dataValidation type="list" allowBlank="1" sqref="C17">
      <formula1>"0%,5%,10%,15%,20%"</formula1>
    </dataValidation>
    <dataValidation type="list" allowBlank="1" sqref="C16">
      <formula1>"0%,5%,10%,15%,20%,25%,30%,35%,40%"</formula1>
    </dataValidation>
    <dataValidation type="list" allowBlank="1" showInputMessage="1" prompt="Select a phase this cost is associated with" sqref="C8:C11">
      <formula1>"SELECT,Funding,Making,Fulfilling,Multiple/Other"</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50.63"/>
    <col customWidth="1" min="4" max="4" width="21.13"/>
    <col customWidth="1" min="5" max="5" width="5.25"/>
    <col customWidth="1" min="6" max="6" width="21.13"/>
    <col customWidth="1" min="7" max="7" width="13.0"/>
    <col customWidth="1" min="8" max="8" width="20.0"/>
  </cols>
  <sheetData>
    <row r="1" ht="38.25" customHeight="1">
      <c r="A1" s="47" t="s">
        <v>18</v>
      </c>
    </row>
    <row r="2" ht="42.0" customHeight="1">
      <c r="A2" s="36" t="s">
        <v>33</v>
      </c>
    </row>
    <row r="3" ht="42.0" customHeight="1">
      <c r="A3" s="36" t="s">
        <v>34</v>
      </c>
    </row>
    <row r="4" ht="42.0" customHeight="1">
      <c r="A4" s="36" t="s">
        <v>35</v>
      </c>
    </row>
    <row r="5">
      <c r="A5" s="48"/>
      <c r="B5" s="48"/>
      <c r="C5" s="48"/>
      <c r="D5" s="48"/>
      <c r="E5" s="48"/>
      <c r="F5" s="48"/>
      <c r="G5" s="49"/>
    </row>
    <row r="6" ht="30.75" customHeight="1">
      <c r="A6" s="48" t="s">
        <v>36</v>
      </c>
      <c r="B6" s="48" t="s">
        <v>37</v>
      </c>
      <c r="C6" s="48" t="s">
        <v>38</v>
      </c>
      <c r="D6" s="48" t="s">
        <v>39</v>
      </c>
      <c r="E6" s="48"/>
      <c r="F6" s="48" t="s">
        <v>17</v>
      </c>
      <c r="G6" s="49"/>
      <c r="H6" s="50"/>
    </row>
    <row r="7" ht="30.75" customHeight="1">
      <c r="A7" s="51" t="s">
        <v>40</v>
      </c>
      <c r="B7" s="52"/>
      <c r="C7" s="53"/>
      <c r="D7" s="54"/>
      <c r="E7" s="54" t="str">
        <f>'Funding Goal'!$D$7</f>
        <v>CA$ </v>
      </c>
      <c r="F7" s="55">
        <v>0.0</v>
      </c>
      <c r="G7" s="49"/>
    </row>
    <row r="8" ht="30.75" customHeight="1">
      <c r="A8" s="51" t="s">
        <v>41</v>
      </c>
      <c r="B8" s="52"/>
      <c r="C8" s="53"/>
      <c r="D8" s="54"/>
      <c r="E8" s="54" t="str">
        <f>'Funding Goal'!$D$7</f>
        <v>CA$ </v>
      </c>
      <c r="F8" s="55">
        <v>0.0</v>
      </c>
      <c r="G8" s="49"/>
    </row>
    <row r="9" ht="30.75" customHeight="1">
      <c r="A9" s="51" t="s">
        <v>42</v>
      </c>
      <c r="B9" s="52"/>
      <c r="C9" s="56"/>
      <c r="D9" s="54"/>
      <c r="E9" s="54" t="str">
        <f>'Funding Goal'!$D$7</f>
        <v>CA$ </v>
      </c>
      <c r="F9" s="55">
        <v>0.0</v>
      </c>
      <c r="G9" s="49"/>
    </row>
    <row r="10" ht="30.75" customHeight="1">
      <c r="A10" s="57"/>
      <c r="B10" s="52"/>
      <c r="C10" s="58"/>
      <c r="D10" s="52"/>
      <c r="E10" s="54"/>
      <c r="F10" s="52"/>
      <c r="G10" s="49"/>
    </row>
    <row r="11" ht="30.75" customHeight="1">
      <c r="A11" s="59"/>
      <c r="B11" s="57"/>
      <c r="C11" s="57"/>
      <c r="D11" s="60"/>
      <c r="E11" s="61"/>
      <c r="F11" s="61" t="s">
        <v>43</v>
      </c>
      <c r="G11" s="49"/>
    </row>
    <row r="12" ht="30.75" customHeight="1">
      <c r="A12" s="59"/>
      <c r="B12" s="57"/>
      <c r="C12" s="57"/>
      <c r="D12" s="60"/>
      <c r="E12" s="62" t="str">
        <f>'Funding Goal'!$D$7</f>
        <v>CA$ </v>
      </c>
      <c r="F12" s="63">
        <f>SUM(F7:F10)</f>
        <v>0</v>
      </c>
      <c r="G12" s="49"/>
    </row>
    <row r="13">
      <c r="A13" s="49"/>
      <c r="B13" s="49"/>
      <c r="C13" s="49"/>
      <c r="D13" s="49"/>
      <c r="E13" s="49"/>
      <c r="F13" s="49"/>
      <c r="G13" s="49"/>
    </row>
    <row r="14">
      <c r="A14" s="49"/>
      <c r="B14" s="49"/>
      <c r="C14" s="49"/>
      <c r="D14" s="49"/>
      <c r="E14" s="49"/>
      <c r="F14" s="49"/>
      <c r="G14" s="49"/>
    </row>
    <row r="15">
      <c r="A15" s="49"/>
      <c r="B15" s="49"/>
      <c r="C15" s="49"/>
      <c r="D15" s="49"/>
      <c r="E15" s="49"/>
      <c r="F15" s="49"/>
      <c r="G15" s="49"/>
    </row>
    <row r="16">
      <c r="A16" s="49"/>
      <c r="B16" s="49"/>
      <c r="C16" s="49"/>
      <c r="D16" s="49"/>
      <c r="E16" s="49"/>
      <c r="F16" s="49"/>
      <c r="G16" s="49"/>
    </row>
  </sheetData>
  <mergeCells count="4">
    <mergeCell ref="A1:G1"/>
    <mergeCell ref="A2:G2"/>
    <mergeCell ref="A3:G3"/>
    <mergeCell ref="A4:G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38.5"/>
    <col customWidth="1" min="3" max="3" width="22.88"/>
    <col customWidth="1" min="4" max="5" width="13.38"/>
    <col customWidth="1" min="6" max="6" width="5.13"/>
    <col customWidth="1" min="7" max="7" width="24.5"/>
    <col customWidth="1" min="8" max="8" width="21.63"/>
    <col customWidth="1" min="9" max="9" width="23.13"/>
    <col customWidth="1" min="10" max="10" width="19.0"/>
  </cols>
  <sheetData>
    <row r="1" ht="36.75" customHeight="1">
      <c r="A1" s="47" t="s">
        <v>19</v>
      </c>
    </row>
    <row r="2" ht="42.0" customHeight="1">
      <c r="A2" s="36" t="s">
        <v>44</v>
      </c>
      <c r="H2" s="64"/>
      <c r="I2" s="65"/>
    </row>
    <row r="3" ht="42.0" customHeight="1">
      <c r="A3" s="36" t="s">
        <v>45</v>
      </c>
      <c r="H3" s="64"/>
      <c r="I3" s="65"/>
    </row>
    <row r="4" ht="42.0" customHeight="1">
      <c r="A4" s="36" t="s">
        <v>46</v>
      </c>
      <c r="H4" s="64"/>
      <c r="I4" s="65"/>
    </row>
    <row r="5">
      <c r="A5" s="66"/>
      <c r="B5" s="66"/>
      <c r="C5" s="66"/>
      <c r="D5" s="66"/>
      <c r="E5" s="66"/>
      <c r="F5" s="66"/>
      <c r="G5" s="66"/>
      <c r="H5" s="64"/>
      <c r="I5" s="65"/>
    </row>
    <row r="6" ht="29.25" customHeight="1">
      <c r="A6" s="67" t="s">
        <v>47</v>
      </c>
      <c r="B6" s="68"/>
      <c r="C6" s="69"/>
      <c r="D6" s="69"/>
      <c r="E6" s="69"/>
      <c r="F6" s="69"/>
      <c r="G6" s="69"/>
      <c r="H6" s="64"/>
      <c r="I6" s="65"/>
    </row>
    <row r="7" ht="29.25" customHeight="1">
      <c r="A7" s="66"/>
      <c r="B7" s="66"/>
      <c r="C7" s="66"/>
      <c r="D7" s="66"/>
      <c r="E7" s="66"/>
      <c r="F7" s="66"/>
      <c r="G7" s="66"/>
      <c r="H7" s="65"/>
      <c r="I7" s="65"/>
    </row>
    <row r="8" ht="29.25" customHeight="1">
      <c r="A8" s="66" t="s">
        <v>36</v>
      </c>
      <c r="B8" s="66" t="s">
        <v>37</v>
      </c>
      <c r="C8" s="66" t="s">
        <v>48</v>
      </c>
      <c r="D8" s="66" t="s">
        <v>49</v>
      </c>
      <c r="E8" s="66" t="s">
        <v>39</v>
      </c>
      <c r="F8" s="66"/>
      <c r="G8" s="66" t="s">
        <v>17</v>
      </c>
      <c r="H8" s="65"/>
      <c r="I8" s="65"/>
      <c r="J8" s="65"/>
    </row>
    <row r="9" ht="29.25" customHeight="1">
      <c r="A9" s="51" t="s">
        <v>50</v>
      </c>
      <c r="B9" s="52"/>
      <c r="C9" s="55">
        <v>0.0</v>
      </c>
      <c r="D9" s="70">
        <v>0.0</v>
      </c>
      <c r="E9" s="54" t="s">
        <v>51</v>
      </c>
      <c r="F9" s="55" t="str">
        <f>'Funding Goal'!$D$7</f>
        <v>CA$ </v>
      </c>
      <c r="G9" s="55">
        <f>0</f>
        <v>0</v>
      </c>
      <c r="H9" s="71"/>
    </row>
    <row r="10" ht="29.25" customHeight="1">
      <c r="A10" s="57" t="s">
        <v>52</v>
      </c>
      <c r="B10" s="52"/>
      <c r="C10" s="55">
        <v>0.0</v>
      </c>
      <c r="D10" s="70">
        <v>0.0</v>
      </c>
      <c r="E10" s="54" t="s">
        <v>51</v>
      </c>
      <c r="F10" s="55" t="str">
        <f>'Funding Goal'!$D$7</f>
        <v>CA$ </v>
      </c>
      <c r="G10" s="55">
        <v>0.0</v>
      </c>
      <c r="H10" s="71"/>
    </row>
    <row r="11" ht="29.25" customHeight="1">
      <c r="A11" s="57" t="s">
        <v>53</v>
      </c>
      <c r="B11" s="52"/>
      <c r="C11" s="55">
        <v>0.0</v>
      </c>
      <c r="D11" s="70">
        <v>0.0</v>
      </c>
      <c r="E11" s="54" t="s">
        <v>51</v>
      </c>
      <c r="F11" s="55" t="str">
        <f>'Funding Goal'!$D$7</f>
        <v>CA$ </v>
      </c>
      <c r="G11" s="55">
        <v>0.0</v>
      </c>
      <c r="H11" s="71"/>
    </row>
    <row r="12" ht="29.25" customHeight="1">
      <c r="A12" s="57"/>
      <c r="B12" s="52"/>
      <c r="C12" s="52"/>
      <c r="D12" s="52"/>
      <c r="E12" s="52"/>
      <c r="F12" s="52"/>
      <c r="G12" s="52"/>
      <c r="H12" s="71"/>
    </row>
    <row r="13" ht="29.25" customHeight="1">
      <c r="A13" s="57"/>
      <c r="B13" s="52"/>
      <c r="C13" s="52"/>
      <c r="D13" s="52"/>
      <c r="E13" s="52"/>
      <c r="F13" s="72"/>
      <c r="G13" s="72" t="s">
        <v>54</v>
      </c>
      <c r="H13" s="71"/>
    </row>
    <row r="14" ht="29.25" customHeight="1">
      <c r="A14" s="59"/>
      <c r="B14" s="57"/>
      <c r="C14" s="57"/>
      <c r="D14" s="60"/>
      <c r="E14" s="60"/>
      <c r="F14" s="63" t="str">
        <f>'Funding Goal'!$D$7</f>
        <v>CA$ </v>
      </c>
      <c r="G14" s="63">
        <f>SUM(G9:G13)</f>
        <v>0</v>
      </c>
      <c r="H14" s="73"/>
    </row>
    <row r="15" ht="29.25" customHeight="1">
      <c r="A15" s="49"/>
      <c r="B15" s="49"/>
      <c r="C15" s="49"/>
      <c r="D15" s="49"/>
      <c r="E15" s="49"/>
      <c r="F15" s="49"/>
      <c r="G15" s="49"/>
    </row>
    <row r="16" ht="29.25" customHeight="1">
      <c r="A16" s="67" t="s">
        <v>55</v>
      </c>
      <c r="B16" s="68"/>
      <c r="C16" s="69"/>
      <c r="D16" s="69"/>
      <c r="E16" s="69"/>
      <c r="F16" s="69"/>
      <c r="G16" s="69"/>
    </row>
    <row r="17" ht="29.25" customHeight="1">
      <c r="A17" s="66"/>
      <c r="B17" s="66"/>
      <c r="C17" s="66"/>
      <c r="D17" s="66"/>
      <c r="E17" s="66"/>
      <c r="F17" s="66"/>
      <c r="G17" s="66"/>
    </row>
    <row r="18" ht="29.25" customHeight="1">
      <c r="A18" s="66" t="s">
        <v>36</v>
      </c>
      <c r="B18" s="66" t="s">
        <v>37</v>
      </c>
      <c r="C18" s="66" t="s">
        <v>48</v>
      </c>
      <c r="D18" s="66" t="s">
        <v>49</v>
      </c>
      <c r="E18" s="66" t="s">
        <v>39</v>
      </c>
      <c r="F18" s="66"/>
      <c r="G18" s="66" t="s">
        <v>17</v>
      </c>
    </row>
    <row r="19" ht="29.25" customHeight="1">
      <c r="A19" s="51" t="s">
        <v>50</v>
      </c>
      <c r="B19" s="52"/>
      <c r="C19" s="55">
        <v>0.0</v>
      </c>
      <c r="D19" s="70">
        <v>0.0</v>
      </c>
      <c r="E19" s="54" t="s">
        <v>51</v>
      </c>
      <c r="F19" s="55" t="str">
        <f>'Funding Goal'!$D$7</f>
        <v>CA$ </v>
      </c>
      <c r="G19" s="55">
        <f t="shared" ref="G19:G21" si="1">C19*D19</f>
        <v>0</v>
      </c>
    </row>
    <row r="20" ht="29.25" customHeight="1">
      <c r="A20" s="57" t="s">
        <v>52</v>
      </c>
      <c r="B20" s="52"/>
      <c r="C20" s="55">
        <v>0.0</v>
      </c>
      <c r="D20" s="70">
        <v>0.0</v>
      </c>
      <c r="E20" s="54" t="s">
        <v>51</v>
      </c>
      <c r="F20" s="55" t="str">
        <f>'Funding Goal'!$D$7</f>
        <v>CA$ </v>
      </c>
      <c r="G20" s="55">
        <f t="shared" si="1"/>
        <v>0</v>
      </c>
    </row>
    <row r="21" ht="29.25" customHeight="1">
      <c r="A21" s="57" t="s">
        <v>53</v>
      </c>
      <c r="B21" s="52"/>
      <c r="C21" s="55">
        <v>0.0</v>
      </c>
      <c r="D21" s="70">
        <v>0.0</v>
      </c>
      <c r="E21" s="54" t="s">
        <v>51</v>
      </c>
      <c r="F21" s="55" t="str">
        <f>'Funding Goal'!$D$7</f>
        <v>CA$ </v>
      </c>
      <c r="G21" s="74">
        <f t="shared" si="1"/>
        <v>0</v>
      </c>
    </row>
    <row r="22" ht="29.25" customHeight="1">
      <c r="A22" s="57"/>
      <c r="B22" s="52"/>
      <c r="C22" s="52"/>
      <c r="D22" s="52"/>
      <c r="E22" s="52"/>
      <c r="F22" s="52"/>
      <c r="G22" s="52"/>
    </row>
    <row r="23" ht="29.25" customHeight="1">
      <c r="A23" s="57"/>
      <c r="B23" s="52"/>
      <c r="C23" s="52"/>
      <c r="D23" s="52"/>
      <c r="E23" s="52"/>
      <c r="F23" s="72"/>
      <c r="G23" s="72" t="s">
        <v>56</v>
      </c>
    </row>
    <row r="24" ht="29.25" customHeight="1">
      <c r="A24" s="59"/>
      <c r="B24" s="57"/>
      <c r="C24" s="57"/>
      <c r="D24" s="60"/>
      <c r="E24" s="60"/>
      <c r="F24" s="63" t="str">
        <f>'Funding Goal'!$D$7</f>
        <v>CA$ </v>
      </c>
      <c r="G24" s="63">
        <f>SUM(G19:G23)</f>
        <v>0</v>
      </c>
    </row>
    <row r="25">
      <c r="A25" s="49"/>
      <c r="B25" s="49"/>
      <c r="C25" s="49"/>
      <c r="D25" s="49"/>
      <c r="E25" s="49"/>
      <c r="F25" s="49"/>
      <c r="G25" s="49"/>
    </row>
    <row r="26">
      <c r="A26" s="49"/>
      <c r="B26" s="49"/>
      <c r="C26" s="49"/>
      <c r="D26" s="49"/>
      <c r="E26" s="49"/>
      <c r="F26" s="49"/>
      <c r="G26" s="49"/>
    </row>
    <row r="27">
      <c r="A27" s="49"/>
      <c r="B27" s="49"/>
      <c r="C27" s="49"/>
      <c r="D27" s="49"/>
      <c r="E27" s="49"/>
      <c r="F27" s="49"/>
      <c r="G27" s="49"/>
    </row>
    <row r="28">
      <c r="A28" s="49"/>
      <c r="B28" s="49"/>
      <c r="C28" s="49"/>
      <c r="D28" s="49"/>
      <c r="E28" s="49"/>
      <c r="F28" s="49"/>
      <c r="G28" s="49"/>
    </row>
  </sheetData>
  <mergeCells count="4">
    <mergeCell ref="A1:G1"/>
    <mergeCell ref="A2:G2"/>
    <mergeCell ref="A3:G3"/>
    <mergeCell ref="A4:G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50.5"/>
    <col customWidth="1" min="3" max="3" width="13.0"/>
    <col customWidth="1" min="4" max="4" width="16.88"/>
    <col customWidth="1" min="5" max="5" width="20.0"/>
    <col customWidth="1" min="6" max="6" width="5.5"/>
    <col customWidth="1" min="7" max="7" width="20.0"/>
    <col customWidth="1" min="8" max="8" width="20.88"/>
    <col customWidth="1" min="9" max="9" width="21.63"/>
  </cols>
  <sheetData>
    <row r="1" ht="36.0" customHeight="1">
      <c r="A1" s="47" t="s">
        <v>57</v>
      </c>
    </row>
    <row r="2" ht="38.25" customHeight="1">
      <c r="A2" s="75" t="s">
        <v>58</v>
      </c>
    </row>
    <row r="3" ht="38.25" customHeight="1">
      <c r="A3" s="36" t="s">
        <v>59</v>
      </c>
    </row>
    <row r="4" ht="38.25" customHeight="1">
      <c r="A4" s="36" t="s">
        <v>60</v>
      </c>
    </row>
    <row r="5">
      <c r="A5" s="48"/>
      <c r="B5" s="48"/>
      <c r="C5" s="48"/>
      <c r="D5" s="48"/>
      <c r="E5" s="49"/>
      <c r="F5" s="49"/>
      <c r="G5" s="49"/>
      <c r="H5" s="50"/>
    </row>
    <row r="6" ht="33.0" customHeight="1">
      <c r="A6" s="48" t="s">
        <v>36</v>
      </c>
      <c r="B6" s="48" t="s">
        <v>37</v>
      </c>
      <c r="C6" s="48" t="s">
        <v>61</v>
      </c>
      <c r="D6" s="48" t="s">
        <v>62</v>
      </c>
      <c r="E6" s="48" t="s">
        <v>39</v>
      </c>
      <c r="F6" s="48"/>
      <c r="G6" s="48" t="s">
        <v>17</v>
      </c>
      <c r="H6" s="50"/>
      <c r="I6" s="50"/>
    </row>
    <row r="7" ht="33.0" customHeight="1">
      <c r="A7" s="51" t="s">
        <v>63</v>
      </c>
      <c r="B7" s="52"/>
      <c r="C7" s="76">
        <v>0.0</v>
      </c>
      <c r="D7" s="55">
        <v>0.0</v>
      </c>
      <c r="E7" s="54"/>
      <c r="F7" s="55" t="str">
        <f>'Funding Goal'!$D$7</f>
        <v>CA$ </v>
      </c>
      <c r="G7" s="55">
        <f t="shared" ref="G7:G10" si="1">C7*D7</f>
        <v>0</v>
      </c>
      <c r="H7" s="77"/>
    </row>
    <row r="8" ht="33.0" customHeight="1">
      <c r="A8" s="51" t="s">
        <v>64</v>
      </c>
      <c r="B8" s="52"/>
      <c r="C8" s="76">
        <v>0.0</v>
      </c>
      <c r="D8" s="55">
        <v>0.0</v>
      </c>
      <c r="E8" s="54"/>
      <c r="F8" s="55" t="str">
        <f>'Funding Goal'!$D$7</f>
        <v>CA$ </v>
      </c>
      <c r="G8" s="55">
        <f t="shared" si="1"/>
        <v>0</v>
      </c>
      <c r="H8" s="77"/>
    </row>
    <row r="9" ht="33.0" customHeight="1">
      <c r="A9" s="51" t="s">
        <v>65</v>
      </c>
      <c r="B9" s="52"/>
      <c r="C9" s="78">
        <v>0.0</v>
      </c>
      <c r="D9" s="55">
        <v>0.0</v>
      </c>
      <c r="E9" s="54"/>
      <c r="F9" s="55" t="str">
        <f>'Funding Goal'!$D$7</f>
        <v>CA$ </v>
      </c>
      <c r="G9" s="55">
        <f t="shared" si="1"/>
        <v>0</v>
      </c>
      <c r="H9" s="77"/>
    </row>
    <row r="10" ht="33.0" customHeight="1">
      <c r="A10" s="51" t="s">
        <v>66</v>
      </c>
      <c r="B10" s="52"/>
      <c r="C10" s="79">
        <v>0.0</v>
      </c>
      <c r="D10" s="55">
        <v>0.0</v>
      </c>
      <c r="E10" s="52"/>
      <c r="F10" s="55" t="str">
        <f>'Funding Goal'!$D$7</f>
        <v>CA$ </v>
      </c>
      <c r="G10" s="74">
        <f t="shared" si="1"/>
        <v>0</v>
      </c>
      <c r="H10" s="80"/>
    </row>
    <row r="11" ht="33.0" customHeight="1">
      <c r="A11" s="57"/>
      <c r="B11" s="54"/>
      <c r="C11" s="58"/>
      <c r="D11" s="52"/>
      <c r="E11" s="52"/>
      <c r="F11" s="52"/>
      <c r="G11" s="52"/>
      <c r="H11" s="80"/>
    </row>
    <row r="12" ht="33.0" customHeight="1">
      <c r="A12" s="59"/>
      <c r="B12" s="57"/>
      <c r="C12" s="57"/>
      <c r="D12" s="60"/>
      <c r="E12" s="60"/>
      <c r="F12" s="72"/>
      <c r="G12" s="72" t="s">
        <v>43</v>
      </c>
      <c r="H12" s="81"/>
    </row>
    <row r="13" ht="33.0" customHeight="1">
      <c r="A13" s="59"/>
      <c r="B13" s="57"/>
      <c r="C13" s="57"/>
      <c r="D13" s="60"/>
      <c r="E13" s="60"/>
      <c r="F13" s="63" t="str">
        <f>'Funding Goal'!$D$7</f>
        <v>CA$ </v>
      </c>
      <c r="G13" s="63">
        <f>SUM(G7:G12)</f>
        <v>0</v>
      </c>
      <c r="H13" s="81"/>
    </row>
    <row r="14">
      <c r="A14" s="49"/>
      <c r="B14" s="49"/>
      <c r="C14" s="49"/>
      <c r="D14" s="49"/>
      <c r="E14" s="49"/>
      <c r="F14" s="49"/>
      <c r="G14" s="49"/>
    </row>
    <row r="15">
      <c r="A15" s="49"/>
      <c r="B15" s="49"/>
      <c r="C15" s="49"/>
      <c r="D15" s="49"/>
      <c r="E15" s="49"/>
      <c r="F15" s="49"/>
      <c r="G15" s="49"/>
    </row>
    <row r="16">
      <c r="A16" s="49"/>
      <c r="B16" s="49"/>
      <c r="C16" s="49"/>
      <c r="D16" s="49"/>
      <c r="E16" s="49"/>
      <c r="F16" s="49"/>
      <c r="G16" s="49"/>
    </row>
    <row r="17">
      <c r="A17" s="49"/>
      <c r="B17" s="49"/>
      <c r="C17" s="49"/>
      <c r="D17" s="49"/>
      <c r="E17" s="49"/>
      <c r="F17" s="49"/>
      <c r="G17" s="49"/>
    </row>
    <row r="18">
      <c r="A18" s="49"/>
      <c r="B18" s="49"/>
      <c r="C18" s="49"/>
      <c r="D18" s="49"/>
      <c r="E18" s="49"/>
      <c r="F18" s="49"/>
      <c r="G18" s="49"/>
    </row>
  </sheetData>
  <mergeCells count="4">
    <mergeCell ref="A1:G1"/>
    <mergeCell ref="A2:G2"/>
    <mergeCell ref="A3:G3"/>
    <mergeCell ref="A4:G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18.5"/>
    <col customWidth="1" min="3" max="3" width="27.5"/>
    <col customWidth="1" min="4" max="4" width="5.5"/>
    <col customWidth="1" min="5" max="5" width="20.5"/>
    <col customWidth="1" min="6" max="6" width="12.75"/>
    <col customWidth="1" min="7" max="7" width="25.5"/>
  </cols>
  <sheetData>
    <row r="1" ht="35.25" customHeight="1">
      <c r="A1" s="47" t="s">
        <v>67</v>
      </c>
    </row>
    <row r="2" ht="35.25" customHeight="1">
      <c r="A2" s="36" t="s">
        <v>68</v>
      </c>
    </row>
    <row r="3" ht="35.25" customHeight="1">
      <c r="A3" s="36" t="s">
        <v>69</v>
      </c>
    </row>
    <row r="4" ht="35.25" customHeight="1">
      <c r="A4" s="36" t="s">
        <v>70</v>
      </c>
    </row>
    <row r="5" ht="21.0" customHeight="1">
      <c r="A5" s="57"/>
      <c r="B5" s="48"/>
      <c r="C5" s="48"/>
      <c r="D5" s="48"/>
      <c r="E5" s="48"/>
      <c r="F5" s="82"/>
      <c r="G5" s="49"/>
    </row>
    <row r="6" ht="33.75" customHeight="1">
      <c r="A6" s="48" t="s">
        <v>71</v>
      </c>
      <c r="B6" s="48" t="s">
        <v>72</v>
      </c>
      <c r="C6" s="48" t="s">
        <v>73</v>
      </c>
      <c r="D6" s="48"/>
      <c r="E6" s="48" t="s">
        <v>74</v>
      </c>
      <c r="F6" s="82"/>
      <c r="G6" s="48"/>
    </row>
    <row r="7" ht="33.75" customHeight="1">
      <c r="A7" s="51" t="s">
        <v>75</v>
      </c>
      <c r="B7" s="76">
        <v>0.0</v>
      </c>
      <c r="C7" s="55">
        <v>0.0</v>
      </c>
      <c r="D7" s="74" t="str">
        <f>'Funding Goal'!$D$7</f>
        <v>CA$ </v>
      </c>
      <c r="E7" s="74">
        <f t="shared" ref="E7:E11" si="1">B7*C7</f>
        <v>0</v>
      </c>
      <c r="F7" s="83"/>
      <c r="G7" s="49"/>
    </row>
    <row r="8" ht="33.75" customHeight="1">
      <c r="A8" s="51" t="s">
        <v>76</v>
      </c>
      <c r="B8" s="76">
        <v>0.0</v>
      </c>
      <c r="C8" s="55">
        <v>0.0</v>
      </c>
      <c r="D8" s="74" t="str">
        <f>'Funding Goal'!$D$7</f>
        <v>CA$ </v>
      </c>
      <c r="E8" s="74">
        <f t="shared" si="1"/>
        <v>0</v>
      </c>
      <c r="F8" s="57"/>
      <c r="G8" s="49"/>
    </row>
    <row r="9" ht="33.75" customHeight="1">
      <c r="A9" s="51" t="s">
        <v>77</v>
      </c>
      <c r="B9" s="76">
        <v>0.0</v>
      </c>
      <c r="C9" s="55">
        <v>0.0</v>
      </c>
      <c r="D9" s="74" t="str">
        <f>'Funding Goal'!$D$7</f>
        <v>CA$ </v>
      </c>
      <c r="E9" s="74">
        <f t="shared" si="1"/>
        <v>0</v>
      </c>
      <c r="F9" s="57"/>
      <c r="G9" s="49"/>
    </row>
    <row r="10" ht="33.75" customHeight="1">
      <c r="A10" s="51" t="s">
        <v>78</v>
      </c>
      <c r="B10" s="76">
        <v>0.0</v>
      </c>
      <c r="C10" s="55">
        <v>0.0</v>
      </c>
      <c r="D10" s="74" t="str">
        <f>'Funding Goal'!$D$7</f>
        <v>CA$ </v>
      </c>
      <c r="E10" s="74">
        <f t="shared" si="1"/>
        <v>0</v>
      </c>
      <c r="F10" s="57"/>
      <c r="G10" s="49"/>
    </row>
    <row r="11" ht="33.75" customHeight="1">
      <c r="A11" s="51" t="s">
        <v>79</v>
      </c>
      <c r="B11" s="76">
        <v>0.0</v>
      </c>
      <c r="C11" s="55">
        <v>0.0</v>
      </c>
      <c r="D11" s="74" t="str">
        <f>'Funding Goal'!$D$7</f>
        <v>CA$ </v>
      </c>
      <c r="E11" s="74">
        <f t="shared" si="1"/>
        <v>0</v>
      </c>
      <c r="F11" s="57"/>
      <c r="G11" s="49"/>
    </row>
    <row r="12" ht="33.75" customHeight="1">
      <c r="A12" s="51" t="s">
        <v>80</v>
      </c>
      <c r="B12" s="76">
        <v>0.0</v>
      </c>
      <c r="C12" s="55">
        <v>0.0</v>
      </c>
      <c r="D12" s="74" t="str">
        <f>'Funding Goal'!$D$7</f>
        <v>CA$ </v>
      </c>
      <c r="E12" s="74">
        <f>C12</f>
        <v>0</v>
      </c>
      <c r="F12" s="57"/>
      <c r="G12" s="49"/>
    </row>
    <row r="13" ht="33.75" customHeight="1">
      <c r="A13" s="48"/>
      <c r="B13" s="84"/>
      <c r="C13" s="52"/>
      <c r="D13" s="52"/>
      <c r="E13" s="52"/>
      <c r="F13" s="57"/>
      <c r="G13" s="49"/>
    </row>
    <row r="14" ht="33.75" customHeight="1">
      <c r="A14" s="48"/>
      <c r="B14" s="84"/>
      <c r="C14" s="52"/>
      <c r="D14" s="72"/>
      <c r="E14" s="72" t="s">
        <v>43</v>
      </c>
      <c r="F14" s="57"/>
      <c r="G14" s="49"/>
    </row>
    <row r="15" ht="33.75" customHeight="1">
      <c r="A15" s="48"/>
      <c r="B15" s="84"/>
      <c r="C15" s="52"/>
      <c r="D15" s="63" t="str">
        <f>'Funding Goal'!$D$7</f>
        <v>CA$ </v>
      </c>
      <c r="E15" s="63">
        <f>SUM(E7:E12)</f>
        <v>0</v>
      </c>
      <c r="F15" s="57"/>
      <c r="G15" s="49"/>
    </row>
    <row r="16">
      <c r="A16" s="48"/>
      <c r="B16" s="57"/>
      <c r="C16" s="57"/>
      <c r="D16" s="57"/>
      <c r="E16" s="57"/>
      <c r="F16" s="57"/>
      <c r="G16" s="49"/>
    </row>
    <row r="17">
      <c r="A17" s="51"/>
      <c r="B17" s="76"/>
      <c r="C17" s="57"/>
      <c r="D17" s="85"/>
      <c r="E17" s="85"/>
      <c r="F17" s="57"/>
      <c r="G17" s="49"/>
    </row>
    <row r="18">
      <c r="A18" s="86"/>
      <c r="B18" s="87"/>
      <c r="C18" s="73"/>
      <c r="D18" s="88"/>
      <c r="E18" s="88"/>
      <c r="F18" s="73"/>
    </row>
    <row r="19">
      <c r="A19" s="86"/>
      <c r="B19" s="73"/>
      <c r="C19" s="73"/>
      <c r="D19" s="88"/>
      <c r="E19" s="88"/>
      <c r="F19" s="73"/>
    </row>
    <row r="20">
      <c r="A20" s="86"/>
      <c r="B20" s="86"/>
      <c r="C20" s="73"/>
      <c r="D20" s="73"/>
      <c r="E20" s="73"/>
      <c r="F20" s="73"/>
    </row>
    <row r="21">
      <c r="A21" s="73"/>
      <c r="B21" s="73"/>
      <c r="C21" s="73"/>
      <c r="D21" s="73"/>
      <c r="E21" s="73"/>
      <c r="F21" s="73"/>
    </row>
    <row r="22">
      <c r="A22" s="89"/>
      <c r="B22" s="81"/>
      <c r="C22" s="90"/>
      <c r="D22" s="90"/>
      <c r="E22" s="90"/>
      <c r="F22" s="80"/>
    </row>
    <row r="23">
      <c r="B23" s="91"/>
    </row>
  </sheetData>
  <mergeCells count="4">
    <mergeCell ref="A1:G1"/>
    <mergeCell ref="A2:G2"/>
    <mergeCell ref="A3:G3"/>
    <mergeCell ref="A4:G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17.25"/>
    <col customWidth="1" min="3" max="3" width="22.25"/>
    <col customWidth="1" min="4" max="4" width="5.5"/>
    <col customWidth="1" min="5" max="5" width="22.13"/>
  </cols>
  <sheetData>
    <row r="1" ht="34.5" customHeight="1">
      <c r="A1" s="47" t="s">
        <v>21</v>
      </c>
    </row>
    <row r="2" ht="33.0" customHeight="1">
      <c r="A2" s="92" t="s">
        <v>81</v>
      </c>
    </row>
    <row r="3" ht="33.0" customHeight="1">
      <c r="A3" s="92" t="s">
        <v>82</v>
      </c>
    </row>
    <row r="4">
      <c r="A4" s="57"/>
      <c r="B4" s="48"/>
      <c r="C4" s="48"/>
      <c r="D4" s="48"/>
      <c r="E4" s="48"/>
      <c r="F4" s="82"/>
      <c r="G4" s="49"/>
    </row>
    <row r="5" ht="39.0" customHeight="1">
      <c r="A5" s="48" t="s">
        <v>21</v>
      </c>
      <c r="B5" s="48" t="s">
        <v>83</v>
      </c>
      <c r="C5" s="48" t="s">
        <v>84</v>
      </c>
      <c r="D5" s="48"/>
      <c r="E5" s="48" t="s">
        <v>74</v>
      </c>
      <c r="F5" s="82"/>
      <c r="G5" s="48"/>
    </row>
    <row r="6" ht="39.0" customHeight="1">
      <c r="A6" s="51" t="s">
        <v>85</v>
      </c>
      <c r="B6" s="76">
        <v>0.0</v>
      </c>
      <c r="C6" s="55">
        <v>0.0</v>
      </c>
      <c r="D6" s="74" t="str">
        <f>'Funding Goal'!$D$7</f>
        <v>CA$ </v>
      </c>
      <c r="E6" s="74">
        <f t="shared" ref="E6:E7" si="1">B6*C6</f>
        <v>0</v>
      </c>
      <c r="F6" s="83"/>
      <c r="G6" s="49"/>
    </row>
    <row r="7" ht="39.0" customHeight="1">
      <c r="A7" s="51" t="s">
        <v>86</v>
      </c>
      <c r="B7" s="76">
        <v>0.0</v>
      </c>
      <c r="C7" s="55">
        <v>0.0</v>
      </c>
      <c r="D7" s="74" t="str">
        <f>'Funding Goal'!$D$7</f>
        <v>CA$ </v>
      </c>
      <c r="E7" s="74">
        <f t="shared" si="1"/>
        <v>0</v>
      </c>
      <c r="F7" s="57"/>
      <c r="G7" s="49"/>
    </row>
    <row r="8" ht="39.0" customHeight="1">
      <c r="A8" s="48"/>
      <c r="B8" s="84"/>
      <c r="C8" s="52"/>
      <c r="D8" s="52"/>
      <c r="E8" s="52"/>
      <c r="F8" s="57"/>
      <c r="G8" s="49"/>
    </row>
    <row r="9" ht="39.0" customHeight="1">
      <c r="A9" s="48"/>
      <c r="B9" s="84"/>
      <c r="C9" s="52"/>
      <c r="D9" s="72"/>
      <c r="E9" s="72" t="s">
        <v>43</v>
      </c>
      <c r="F9" s="57"/>
      <c r="G9" s="49"/>
    </row>
    <row r="10" ht="39.0" customHeight="1">
      <c r="A10" s="48"/>
      <c r="B10" s="84"/>
      <c r="C10" s="52"/>
      <c r="D10" s="63" t="str">
        <f>'Funding Goal'!$D$7</f>
        <v>CA$ </v>
      </c>
      <c r="E10" s="63">
        <f>SUM(E6:E7)</f>
        <v>0</v>
      </c>
      <c r="F10" s="57"/>
      <c r="G10" s="49"/>
    </row>
    <row r="11">
      <c r="A11" s="49"/>
      <c r="B11" s="49"/>
      <c r="C11" s="49"/>
      <c r="D11" s="49"/>
      <c r="E11" s="49"/>
      <c r="F11" s="49"/>
      <c r="G11" s="49"/>
    </row>
    <row r="12">
      <c r="A12" s="49"/>
      <c r="B12" s="49"/>
      <c r="C12" s="49"/>
      <c r="D12" s="49"/>
      <c r="E12" s="49"/>
      <c r="F12" s="49"/>
      <c r="G12" s="49"/>
    </row>
    <row r="13">
      <c r="A13" s="49"/>
      <c r="B13" s="49"/>
      <c r="C13" s="49"/>
      <c r="D13" s="49"/>
      <c r="E13" s="49"/>
      <c r="F13" s="49"/>
      <c r="G13" s="49"/>
    </row>
    <row r="14">
      <c r="A14" s="49"/>
      <c r="B14" s="49"/>
      <c r="C14" s="49"/>
      <c r="D14" s="49"/>
      <c r="E14" s="49"/>
      <c r="F14" s="49"/>
      <c r="G14" s="49"/>
    </row>
    <row r="15">
      <c r="A15" s="49"/>
      <c r="B15" s="49"/>
      <c r="C15" s="49"/>
      <c r="D15" s="49"/>
      <c r="E15" s="49"/>
      <c r="F15" s="49"/>
      <c r="G15" s="49"/>
    </row>
    <row r="16">
      <c r="A16" s="49"/>
      <c r="B16" s="49"/>
      <c r="C16" s="49"/>
      <c r="D16" s="49"/>
      <c r="E16" s="49"/>
      <c r="F16" s="49"/>
      <c r="G16" s="49"/>
    </row>
  </sheetData>
  <mergeCells count="3">
    <mergeCell ref="A1:G1"/>
    <mergeCell ref="A2:G2"/>
    <mergeCell ref="A3:G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38.25"/>
    <col customWidth="1" min="4" max="4" width="25.63"/>
    <col customWidth="1" min="5" max="5" width="5.88"/>
    <col customWidth="1" min="6" max="6" width="28.75"/>
    <col customWidth="1" min="7" max="7" width="35.25"/>
  </cols>
  <sheetData>
    <row r="1" ht="33.75" customHeight="1">
      <c r="A1" s="47" t="s">
        <v>87</v>
      </c>
    </row>
    <row r="2" ht="33.75" customHeight="1">
      <c r="A2" s="92" t="s">
        <v>88</v>
      </c>
    </row>
    <row r="3" ht="33.75" customHeight="1">
      <c r="A3" s="92" t="s">
        <v>82</v>
      </c>
    </row>
    <row r="4">
      <c r="A4" s="48"/>
      <c r="B4" s="48"/>
      <c r="C4" s="48"/>
      <c r="D4" s="48"/>
      <c r="E4" s="48"/>
      <c r="F4" s="48"/>
      <c r="G4" s="49"/>
    </row>
    <row r="5" ht="31.5" customHeight="1">
      <c r="A5" s="48" t="s">
        <v>36</v>
      </c>
      <c r="B5" s="48" t="s">
        <v>37</v>
      </c>
      <c r="C5" s="48" t="s">
        <v>38</v>
      </c>
      <c r="D5" s="48" t="s">
        <v>39</v>
      </c>
      <c r="E5" s="48"/>
      <c r="F5" s="48" t="s">
        <v>17</v>
      </c>
      <c r="G5" s="49"/>
    </row>
    <row r="6" ht="31.5" customHeight="1">
      <c r="A6" s="51" t="s">
        <v>89</v>
      </c>
      <c r="B6" s="52"/>
      <c r="C6" s="53"/>
      <c r="D6" s="54"/>
      <c r="E6" s="55" t="str">
        <f>'Funding Goal'!$D$7</f>
        <v>CA$ </v>
      </c>
      <c r="F6" s="55">
        <v>0.0</v>
      </c>
      <c r="G6" s="49"/>
    </row>
    <row r="7" ht="31.5" customHeight="1">
      <c r="A7" s="51" t="s">
        <v>90</v>
      </c>
      <c r="B7" s="52"/>
      <c r="C7" s="53"/>
      <c r="D7" s="54"/>
      <c r="E7" s="55" t="str">
        <f>'Funding Goal'!$D$7</f>
        <v>CA$ </v>
      </c>
      <c r="F7" s="55">
        <v>0.0</v>
      </c>
      <c r="G7" s="49"/>
    </row>
    <row r="8" ht="31.5" customHeight="1">
      <c r="A8" s="51" t="s">
        <v>91</v>
      </c>
      <c r="B8" s="52"/>
      <c r="C8" s="56"/>
      <c r="D8" s="54"/>
      <c r="E8" s="55" t="str">
        <f>'Funding Goal'!$D$7</f>
        <v>CA$ </v>
      </c>
      <c r="F8" s="55">
        <v>0.0</v>
      </c>
      <c r="G8" s="49"/>
    </row>
    <row r="9" ht="31.5" customHeight="1">
      <c r="A9" s="57"/>
      <c r="B9" s="52"/>
      <c r="C9" s="58"/>
      <c r="D9" s="52"/>
      <c r="E9" s="52"/>
      <c r="F9" s="52"/>
      <c r="G9" s="49"/>
    </row>
    <row r="10" ht="31.5" customHeight="1">
      <c r="A10" s="59"/>
      <c r="B10" s="57"/>
      <c r="C10" s="57"/>
      <c r="D10" s="60"/>
      <c r="E10" s="61"/>
      <c r="F10" s="61" t="s">
        <v>43</v>
      </c>
      <c r="G10" s="49"/>
    </row>
    <row r="11" ht="31.5" customHeight="1">
      <c r="A11" s="59"/>
      <c r="B11" s="57"/>
      <c r="C11" s="57"/>
      <c r="D11" s="60"/>
      <c r="E11" s="63" t="str">
        <f>'Funding Goal'!$D$7</f>
        <v>CA$ </v>
      </c>
      <c r="F11" s="63">
        <f>SUM(F6:F9)</f>
        <v>0</v>
      </c>
      <c r="G11" s="49"/>
    </row>
    <row r="12">
      <c r="A12" s="49"/>
      <c r="B12" s="49"/>
      <c r="C12" s="49"/>
      <c r="D12" s="49"/>
      <c r="E12" s="49"/>
      <c r="F12" s="49"/>
      <c r="G12" s="49"/>
    </row>
  </sheetData>
  <mergeCells count="3">
    <mergeCell ref="A1:G1"/>
    <mergeCell ref="A2:G2"/>
    <mergeCell ref="A3:G3"/>
  </mergeCells>
  <drawing r:id="rId1"/>
</worksheet>
</file>